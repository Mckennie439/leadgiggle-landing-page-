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ll Log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<sst xmlns="http://schemas.openxmlformats.org/spreadsheetml/2006/main" count="46" uniqueCount="46">
  <si>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Referral Program CAC Tracker — Install Log</t>
  </si>
  <si>
    <t xml:space="preserve">Legend:  Blue text = enter manually.  Yellow fill = editable rate assumptions (update after the validation phase).  Black text = auto-calculated — do not edit.</t>
  </si>
  <si>
    <t xml:space="preserve">Commission Rate (all tiers):</t>
  </si>
  <si>
    <t xml:space="preserve">Discount Rate – Above 250k:</t>
  </si>
  <si>
    <t xml:space="preserve">Discount Rate – 150k–250k:</t>
  </si>
  <si>
    <t xml:space="preserve">Install #</t>
  </si>
  <si>
    <t xml:space="preserve">Referral Code</t>
  </si>
  <si>
    <t xml:space="preserve">Referrer Name</t>
  </si>
  <si>
    <t xml:space="preserve">Installation Date</t>
  </si>
  <si>
    <t xml:space="preserve">Installation Value (KES)</t>
  </si>
  <si>
    <t xml:space="preserve">Tier</t>
  </si>
  <si>
    <t xml:space="preserve">Commission %</t>
  </si>
  <si>
    <t xml:space="preserve">Commission Paid (KES)</t>
  </si>
  <si>
    <t xml:space="preserve">Discount %</t>
  </si>
  <si>
    <t xml:space="preserve">Discount Given (KES)</t>
  </si>
  <si>
    <t xml:space="preserve">Cost of Materials/Labor/Logistics (KES)</t>
  </si>
  <si>
    <t xml:space="preserve">Gross Margin (KES)</t>
  </si>
  <si>
    <t xml:space="preserve">Gross Margin %</t>
  </si>
  <si>
    <t xml:space="preserve">Overhead Allocation (KES)</t>
  </si>
  <si>
    <t xml:space="preserve">Total Acquisition Cost (KES)</t>
  </si>
  <si>
    <t xml:space="preserve">CAC % of Deal Value</t>
  </si>
  <si>
    <t xml:space="preserve">CAC-to-Margin Ratio</t>
  </si>
  <si>
    <t xml:space="preserve">Flag</t>
  </si>
  <si>
    <t xml:space="preserve">MF-0001</t>
  </si>
  <si>
    <t xml:space="preserve">Sample Referrer</t>
  </si>
  <si>
    <t xml:space="preserve">Note: Tier and rate thresholds reflect the referral program structure as of 2026-08-06 (source: program terms provided by G&amp;P Solar Systems). Installs below KES 150,000 are logged with Tier = "Below 150k" and a 0% discount rate pending a decision on whether they qualify for the program.</t>
  </si>
  <si>
    <t xml:space="preserve">Referral Program CAC Tracker — Summary Dashboard</t>
  </si>
  <si>
    <t xml:space="preserve">Installs Logged</t>
  </si>
  <si>
    <t xml:space="preserve">of 30</t>
  </si>
  <si>
    <t xml:space="preserve">Total Installation Value (KES)</t>
  </si>
  <si>
    <t xml:space="preserve">Total Commissions Paid (KES)</t>
  </si>
  <si>
    <t xml:space="preserve">Total Discounts Given (KES)</t>
  </si>
  <si>
    <t xml:space="preserve">Total Overhead Allocated (KES)</t>
  </si>
  <si>
    <t xml:space="preserve">Blended CAC Metrics</t>
  </si>
  <si>
    <t xml:space="preserve">Average Deal Value (KES)</t>
  </si>
  <si>
    <t xml:space="preserve">Blended CAC (KES)</t>
  </si>
  <si>
    <t xml:space="preserve">Blended CAC % of Avg Deal Value</t>
  </si>
  <si>
    <t xml:space="preserve">Average Gross Margin %</t>
  </si>
  <si>
    <t xml:space="preserve">Average CAC-to-Margin Ratio</t>
  </si>
  <si>
    <t xml:space="preserve">Trend Check — Installs 1–15 vs 16–30</t>
  </si>
  <si>
    <t xml:space="preserve">Avg CAC-to-Margin Ratio, Installs 1–15</t>
  </si>
  <si>
    <t xml:space="preserve">Avg CAC-to-Margin Ratio, Installs 16–30</t>
  </si>
  <si>
    <t xml:space="preserve">Trend Indicator</t>
  </si>
  <si>
    <t xml:space="preserve">Assumption: "Climbing" = 2nd-half average ratio more than 5% above the 1st-half average; "Improving" = more than 5% below. Adjust the 1.05 / 0.95 multipliers in the formula if a different sensitivity is wanted.</t>
  </si>
  <si>
    <t xml:space="preserve">Program Status</t>
  </si>
  <si>
    <t xml:space="preserve">Thresholds: RENEGOTIATE TERMS if Average CAC-to-Margin Ratio &gt; 0.40 · REVIEW NEEDED if 0.35–0.40, or under 0.35 while the trend is "Climbing" · SAFE TO SCALE if under 0.35 and the trend is not "Climbing".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</si>
</sst>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dd\-mmm\-yyyy"/>
    <numFmt numFmtId="168" formatCode="&quot;KES &quot;#,##0"/>
    <numFmt numFmtId="169" formatCode="0.0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26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272A"/>
        <bgColor rgb="FFC0392B"/>
      </patternFill>
    </fill>
    <fill>
      <patternFill patternType="solid">
        <fgColor rgb="FFFFFF99"/>
        <bgColor rgb="FFFFEB9C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C0392B"/>
        </patternFill>
      </fill>
    </dxf>
    <dxf>
      <fill>
        <patternFill>
          <bgColor rgb="FFD4AC0D"/>
        </patternFill>
      </fill>
    </dxf>
    <dxf>
      <fill>
        <patternFill>
          <bgColor rgb="FF1E844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C8272A"/>
      <rgbColor rgb="FFFFEB9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D4AC0D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5" min="14" style="0" width="20"/>
    <col collapsed="false" customWidth="true" hidden="false" outlineLevel="0" max="17" min="16" style="0" width="16"/>
    <col collapsed="false" customWidth="true" hidden="false" outlineLevel="0" max="18" min="18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 t="s">
        <v>2</v>
      </c>
      <c r="B3" s="3"/>
      <c r="C3" s="3"/>
      <c r="D3" s="4" t="n">
        <v>0.05</v>
      </c>
    </row>
    <row r="4" customFormat="false" ht="15" hidden="false" customHeight="false" outlineLevel="0" collapsed="false">
      <c r="A4" s="3" t="s">
        <v>3</v>
      </c>
      <c r="B4" s="3"/>
      <c r="C4" s="3"/>
      <c r="D4" s="4" t="n">
        <v>0.04</v>
      </c>
    </row>
    <row r="5" customFormat="false" ht="15" hidden="false" customHeight="false" outlineLevel="0" collapsed="false">
      <c r="A5" s="3" t="s">
        <v>4</v>
      </c>
      <c r="B5" s="3"/>
      <c r="C5" s="3"/>
      <c r="D5" s="4" t="n">
        <v>0.03</v>
      </c>
    </row>
    <row r="7" customFormat="false" ht="31.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</row>
    <row r="8" customFormat="false" ht="15" hidden="false" customHeight="false" outlineLevel="0" collapsed="false">
      <c r="A8" s="6" t="n">
        <f aca="false">ROW()-7</f>
        <v>1</v>
      </c>
      <c r="B8" s="7" t="s">
        <v>23</v>
      </c>
      <c r="C8" s="7" t="s">
        <v>24</v>
      </c>
      <c r="D8" s="8" t="n">
        <v>46037</v>
      </c>
      <c r="E8" s="9" t="n">
        <v>275000</v>
      </c>
      <c r="F8" s="10" t="str">
        <f aca="false">IF(E8="","",IF(E8&gt;=250000,"Above 250k",IF(E8&gt;=150000,"150k-250k","Below 150k")))</f>
        <v>Above 250k</v>
      </c>
      <c r="G8" s="11" t="n">
        <f aca="false">IF(E8="","",$D$3)</f>
        <v>0.05</v>
      </c>
      <c r="H8" s="12" t="n">
        <f aca="false">IF(E8="","",E8*G8)</f>
        <v>13750</v>
      </c>
      <c r="I8" s="11" t="n">
        <f aca="false">IF(F8="","",IF(F8="Above 250k",$D$4,IF(F8="150k-250k",$D$5,0)))</f>
        <v>0.04</v>
      </c>
      <c r="J8" s="12" t="n">
        <f aca="false">IF(E8="","",E8*I8)</f>
        <v>11000</v>
      </c>
      <c r="K8" s="9" t="n">
        <v>190000</v>
      </c>
      <c r="L8" s="12" t="n">
        <f aca="false">IF(OR(E8="",K8=""),"",E8-K8)</f>
        <v>85000</v>
      </c>
      <c r="M8" s="11" t="n">
        <f aca="false">IF(OR(L8="",E8="",E8=0),"",L8/E8)</f>
        <v>0.309090909090909</v>
      </c>
      <c r="N8" s="9" t="n">
        <v>3000</v>
      </c>
      <c r="O8" s="12" t="n">
        <f aca="false">IF(OR(E8="",N8=""),"",H8+J8+N8)</f>
        <v>27750</v>
      </c>
      <c r="P8" s="11" t="n">
        <f aca="false">IF(OR(O8="",E8="",E8=0),"",O8/E8)</f>
        <v>0.100909090909091</v>
      </c>
      <c r="Q8" s="13" t="n">
        <f aca="false">IF(OR(O8="",L8="",L8=0),"",O8/L8)</f>
        <v>0.326470588235294</v>
      </c>
      <c r="R8" s="14" t="str">
        <f aca="false">IF(Q8="","",IF(Q8&gt;0.4,"High Risk",IF(Q8&gt;=0.3,"Caution","Healthy")))</f>
        <v>Caution</v>
      </c>
    </row>
    <row r="9" customFormat="false" ht="15" hidden="false" customHeight="false" outlineLevel="0" collapsed="false">
      <c r="A9" s="6" t="n">
        <f aca="false">ROW()-7</f>
        <v>2</v>
      </c>
      <c r="B9" s="7"/>
      <c r="C9" s="7"/>
      <c r="D9" s="8"/>
      <c r="E9" s="9"/>
      <c r="F9" s="10" t="str">
        <f aca="false">IF(E9="","",IF(E9&gt;=250000,"Above 250k",IF(E9&gt;=150000,"150k-250k","Below 150k")))</f>
        <v/>
      </c>
      <c r="G9" s="11" t="str">
        <f aca="false">IF(E9="","",$D$3)</f>
        <v/>
      </c>
      <c r="H9" s="12" t="str">
        <f aca="false">IF(E9="","",E9*G9)</f>
        <v/>
      </c>
      <c r="I9" s="11" t="str">
        <f aca="false">IF(F9="","",IF(F9="Above 250k",$D$4,IF(F9="150k-250k",$D$5,0)))</f>
        <v/>
      </c>
      <c r="J9" s="12" t="str">
        <f aca="false">IF(E9="","",E9*I9)</f>
        <v/>
      </c>
      <c r="K9" s="9"/>
      <c r="L9" s="12" t="str">
        <f aca="false">IF(OR(E9="",K9=""),"",E9-K9)</f>
        <v/>
      </c>
      <c r="M9" s="11" t="str">
        <f aca="false">IF(OR(L9="",E9="",E9=0),"",L9/E9)</f>
        <v/>
      </c>
      <c r="N9" s="9"/>
      <c r="O9" s="12" t="str">
        <f aca="false">IF(OR(E9="",N9=""),"",H9+J9+N9)</f>
        <v/>
      </c>
      <c r="P9" s="11" t="str">
        <f aca="false">IF(OR(O9="",E9="",E9=0),"",O9/E9)</f>
        <v/>
      </c>
      <c r="Q9" s="13" t="str">
        <f aca="false">IF(OR(O9="",L9="",L9=0),"",O9/L9)</f>
        <v/>
      </c>
      <c r="R9" s="14" t="str">
        <f aca="false">IF(Q9="","",IF(Q9&gt;0.4,"High Risk",IF(Q9&gt;=0.3,"Caution","Healthy")))</f>
        <v/>
      </c>
    </row>
    <row r="10" customFormat="false" ht="15" hidden="false" customHeight="false" outlineLevel="0" collapsed="false">
      <c r="A10" s="6" t="n">
        <f aca="false">ROW()-7</f>
        <v>3</v>
      </c>
      <c r="B10" s="7"/>
      <c r="C10" s="7"/>
      <c r="D10" s="8"/>
      <c r="E10" s="9"/>
      <c r="F10" s="10" t="str">
        <f aca="false">IF(E10="","",IF(E10&gt;=250000,"Above 250k",IF(E10&gt;=150000,"150k-250k","Below 150k")))</f>
        <v/>
      </c>
      <c r="G10" s="11" t="str">
        <f aca="false">IF(E10="","",$D$3)</f>
        <v/>
      </c>
      <c r="H10" s="12" t="str">
        <f aca="false">IF(E10="","",E10*G10)</f>
        <v/>
      </c>
      <c r="I10" s="11" t="str">
        <f aca="false">IF(F10="","",IF(F10="Above 250k",$D$4,IF(F10="150k-250k",$D$5,0)))</f>
        <v/>
      </c>
      <c r="J10" s="12" t="str">
        <f aca="false">IF(E10="","",E10*I10)</f>
        <v/>
      </c>
      <c r="K10" s="9"/>
      <c r="L10" s="12" t="str">
        <f aca="false">IF(OR(E10="",K10=""),"",E10-K10)</f>
        <v/>
      </c>
      <c r="M10" s="11" t="str">
        <f aca="false">IF(OR(L10="",E10="",E10=0),"",L10/E10)</f>
        <v/>
      </c>
      <c r="N10" s="9"/>
      <c r="O10" s="12" t="str">
        <f aca="false">IF(OR(E10="",N10=""),"",H10+J10+N10)</f>
        <v/>
      </c>
      <c r="P10" s="11" t="str">
        <f aca="false">IF(OR(O10="",E10="",E10=0),"",O10/E10)</f>
        <v/>
      </c>
      <c r="Q10" s="13" t="str">
        <f aca="false">IF(OR(O10="",L10="",L10=0),"",O10/L10)</f>
        <v/>
      </c>
      <c r="R10" s="14" t="str">
        <f aca="false">IF(Q10="","",IF(Q10&gt;0.4,"High Risk",IF(Q10&gt;=0.3,"Caution","Healthy")))</f>
        <v/>
      </c>
    </row>
    <row r="11" customFormat="false" ht="15" hidden="false" customHeight="false" outlineLevel="0" collapsed="false">
      <c r="A11" s="6" t="n">
        <f aca="false">ROW()-7</f>
        <v>4</v>
      </c>
      <c r="B11" s="7"/>
      <c r="C11" s="7"/>
      <c r="D11" s="8"/>
      <c r="E11" s="9"/>
      <c r="F11" s="10" t="str">
        <f aca="false">IF(E11="","",IF(E11&gt;=250000,"Above 250k",IF(E11&gt;=150000,"150k-250k","Below 150k")))</f>
        <v/>
      </c>
      <c r="G11" s="11" t="str">
        <f aca="false">IF(E11="","",$D$3)</f>
        <v/>
      </c>
      <c r="H11" s="12" t="str">
        <f aca="false">IF(E11="","",E11*G11)</f>
        <v/>
      </c>
      <c r="I11" s="11" t="str">
        <f aca="false">IF(F11="","",IF(F11="Above 250k",$D$4,IF(F11="150k-250k",$D$5,0)))</f>
        <v/>
      </c>
      <c r="J11" s="12" t="str">
        <f aca="false">IF(E11="","",E11*I11)</f>
        <v/>
      </c>
      <c r="K11" s="9"/>
      <c r="L11" s="12" t="str">
        <f aca="false">IF(OR(E11="",K11=""),"",E11-K11)</f>
        <v/>
      </c>
      <c r="M11" s="11" t="str">
        <f aca="false">IF(OR(L11="",E11="",E11=0),"",L11/E11)</f>
        <v/>
      </c>
      <c r="N11" s="9"/>
      <c r="O11" s="12" t="str">
        <f aca="false">IF(OR(E11="",N11=""),"",H11+J11+N11)</f>
        <v/>
      </c>
      <c r="P11" s="11" t="str">
        <f aca="false">IF(OR(O11="",E11="",E11=0),"",O11/E11)</f>
        <v/>
      </c>
      <c r="Q11" s="13" t="str">
        <f aca="false">IF(OR(O11="",L11="",L11=0),"",O11/L11)</f>
        <v/>
      </c>
      <c r="R11" s="14" t="str">
        <f aca="false">IF(Q11="","",IF(Q11&gt;0.4,"High Risk",IF(Q11&gt;=0.3,"Caution","Healthy")))</f>
        <v/>
      </c>
    </row>
    <row r="12" customFormat="false" ht="15" hidden="false" customHeight="false" outlineLevel="0" collapsed="false">
      <c r="A12" s="6" t="n">
        <f aca="false">ROW()-7</f>
        <v>5</v>
      </c>
      <c r="B12" s="7"/>
      <c r="C12" s="7"/>
      <c r="D12" s="8"/>
      <c r="E12" s="9"/>
      <c r="F12" s="10" t="str">
        <f aca="false">IF(E12="","",IF(E12&gt;=250000,"Above 250k",IF(E12&gt;=150000,"150k-250k","Below 150k")))</f>
        <v/>
      </c>
      <c r="G12" s="11" t="str">
        <f aca="false">IF(E12="","",$D$3)</f>
        <v/>
      </c>
      <c r="H12" s="12" t="str">
        <f aca="false">IF(E12="","",E12*G12)</f>
        <v/>
      </c>
      <c r="I12" s="11" t="str">
        <f aca="false">IF(F12="","",IF(F12="Above 250k",$D$4,IF(F12="150k-250k",$D$5,0)))</f>
        <v/>
      </c>
      <c r="J12" s="12" t="str">
        <f aca="false">IF(E12="","",E12*I12)</f>
        <v/>
      </c>
      <c r="K12" s="9"/>
      <c r="L12" s="12" t="str">
        <f aca="false">IF(OR(E12="",K12=""),"",E12-K12)</f>
        <v/>
      </c>
      <c r="M12" s="11" t="str">
        <f aca="false">IF(OR(L12="",E12="",E12=0),"",L12/E12)</f>
        <v/>
      </c>
      <c r="N12" s="9"/>
      <c r="O12" s="12" t="str">
        <f aca="false">IF(OR(E12="",N12=""),"",H12+J12+N12)</f>
        <v/>
      </c>
      <c r="P12" s="11" t="str">
        <f aca="false">IF(OR(O12="",E12="",E12=0),"",O12/E12)</f>
        <v/>
      </c>
      <c r="Q12" s="13" t="str">
        <f aca="false">IF(OR(O12="",L12="",L12=0),"",O12/L12)</f>
        <v/>
      </c>
      <c r="R12" s="14" t="str">
        <f aca="false">IF(Q12="","",IF(Q12&gt;0.4,"High Risk",IF(Q12&gt;=0.3,"Caution","Healthy")))</f>
        <v/>
      </c>
    </row>
    <row r="13" customFormat="false" ht="15" hidden="false" customHeight="false" outlineLevel="0" collapsed="false">
      <c r="A13" s="6" t="n">
        <f aca="false">ROW()-7</f>
        <v>6</v>
      </c>
      <c r="B13" s="7"/>
      <c r="C13" s="7"/>
      <c r="D13" s="8"/>
      <c r="E13" s="9"/>
      <c r="F13" s="10" t="str">
        <f aca="false">IF(E13="","",IF(E13&gt;=250000,"Above 250k",IF(E13&gt;=150000,"150k-250k","Below 150k")))</f>
        <v/>
      </c>
      <c r="G13" s="11" t="str">
        <f aca="false">IF(E13="","",$D$3)</f>
        <v/>
      </c>
      <c r="H13" s="12" t="str">
        <f aca="false">IF(E13="","",E13*G13)</f>
        <v/>
      </c>
      <c r="I13" s="11" t="str">
        <f aca="false">IF(F13="","",IF(F13="Above 250k",$D$4,IF(F13="150k-250k",$D$5,0)))</f>
        <v/>
      </c>
      <c r="J13" s="12" t="str">
        <f aca="false">IF(E13="","",E13*I13)</f>
        <v/>
      </c>
      <c r="K13" s="9"/>
      <c r="L13" s="12" t="str">
        <f aca="false">IF(OR(E13="",K13=""),"",E13-K13)</f>
        <v/>
      </c>
      <c r="M13" s="11" t="str">
        <f aca="false">IF(OR(L13="",E13="",E13=0),"",L13/E13)</f>
        <v/>
      </c>
      <c r="N13" s="9"/>
      <c r="O13" s="12" t="str">
        <f aca="false">IF(OR(E13="",N13=""),"",H13+J13+N13)</f>
        <v/>
      </c>
      <c r="P13" s="11" t="str">
        <f aca="false">IF(OR(O13="",E13="",E13=0),"",O13/E13)</f>
        <v/>
      </c>
      <c r="Q13" s="13" t="str">
        <f aca="false">IF(OR(O13="",L13="",L13=0),"",O13/L13)</f>
        <v/>
      </c>
      <c r="R13" s="14" t="str">
        <f aca="false">IF(Q13="","",IF(Q13&gt;0.4,"High Risk",IF(Q13&gt;=0.3,"Caution","Healthy")))</f>
        <v/>
      </c>
    </row>
    <row r="14" customFormat="false" ht="15" hidden="false" customHeight="false" outlineLevel="0" collapsed="false">
      <c r="A14" s="6" t="n">
        <f aca="false">ROW()-7</f>
        <v>7</v>
      </c>
      <c r="B14" s="7"/>
      <c r="C14" s="7"/>
      <c r="D14" s="8"/>
      <c r="E14" s="9"/>
      <c r="F14" s="10" t="str">
        <f aca="false">IF(E14="","",IF(E14&gt;=250000,"Above 250k",IF(E14&gt;=150000,"150k-250k","Below 150k")))</f>
        <v/>
      </c>
      <c r="G14" s="11" t="str">
        <f aca="false">IF(E14="","",$D$3)</f>
        <v/>
      </c>
      <c r="H14" s="12" t="str">
        <f aca="false">IF(E14="","",E14*G14)</f>
        <v/>
      </c>
      <c r="I14" s="11" t="str">
        <f aca="false">IF(F14="","",IF(F14="Above 250k",$D$4,IF(F14="150k-250k",$D$5,0)))</f>
        <v/>
      </c>
      <c r="J14" s="12" t="str">
        <f aca="false">IF(E14="","",E14*I14)</f>
        <v/>
      </c>
      <c r="K14" s="9"/>
      <c r="L14" s="12" t="str">
        <f aca="false">IF(OR(E14="",K14=""),"",E14-K14)</f>
        <v/>
      </c>
      <c r="M14" s="11" t="str">
        <f aca="false">IF(OR(L14="",E14="",E14=0),"",L14/E14)</f>
        <v/>
      </c>
      <c r="N14" s="9"/>
      <c r="O14" s="12" t="str">
        <f aca="false">IF(OR(E14="",N14=""),"",H14+J14+N14)</f>
        <v/>
      </c>
      <c r="P14" s="11" t="str">
        <f aca="false">IF(OR(O14="",E14="",E14=0),"",O14/E14)</f>
        <v/>
      </c>
      <c r="Q14" s="13" t="str">
        <f aca="false">IF(OR(O14="",L14="",L14=0),"",O14/L14)</f>
        <v/>
      </c>
      <c r="R14" s="14" t="str">
        <f aca="false">IF(Q14="","",IF(Q14&gt;0.4,"High Risk",IF(Q14&gt;=0.3,"Caution","Healthy")))</f>
        <v/>
      </c>
    </row>
    <row r="15" customFormat="false" ht="15" hidden="false" customHeight="false" outlineLevel="0" collapsed="false">
      <c r="A15" s="6" t="n">
        <f aca="false">ROW()-7</f>
        <v>8</v>
      </c>
      <c r="B15" s="7"/>
      <c r="C15" s="7"/>
      <c r="D15" s="8"/>
      <c r="E15" s="9"/>
      <c r="F15" s="10" t="str">
        <f aca="false">IF(E15="","",IF(E15&gt;=250000,"Above 250k",IF(E15&gt;=150000,"150k-250k","Below 150k")))</f>
        <v/>
      </c>
      <c r="G15" s="11" t="str">
        <f aca="false">IF(E15="","",$D$3)</f>
        <v/>
      </c>
      <c r="H15" s="12" t="str">
        <f aca="false">IF(E15="","",E15*G15)</f>
        <v/>
      </c>
      <c r="I15" s="11" t="str">
        <f aca="false">IF(F15="","",IF(F15="Above 250k",$D$4,IF(F15="150k-250k",$D$5,0)))</f>
        <v/>
      </c>
      <c r="J15" s="12" t="str">
        <f aca="false">IF(E15="","",E15*I15)</f>
        <v/>
      </c>
      <c r="K15" s="9"/>
      <c r="L15" s="12" t="str">
        <f aca="false">IF(OR(E15="",K15=""),"",E15-K15)</f>
        <v/>
      </c>
      <c r="M15" s="11" t="str">
        <f aca="false">IF(OR(L15="",E15="",E15=0),"",L15/E15)</f>
        <v/>
      </c>
      <c r="N15" s="9"/>
      <c r="O15" s="12" t="str">
        <f aca="false">IF(OR(E15="",N15=""),"",H15+J15+N15)</f>
        <v/>
      </c>
      <c r="P15" s="11" t="str">
        <f aca="false">IF(OR(O15="",E15="",E15=0),"",O15/E15)</f>
        <v/>
      </c>
      <c r="Q15" s="13" t="str">
        <f aca="false">IF(OR(O15="",L15="",L15=0),"",O15/L15)</f>
        <v/>
      </c>
      <c r="R15" s="14" t="str">
        <f aca="false">IF(Q15="","",IF(Q15&gt;0.4,"High Risk",IF(Q15&gt;=0.3,"Caution","Healthy")))</f>
        <v/>
      </c>
    </row>
    <row r="16" customFormat="false" ht="15" hidden="false" customHeight="false" outlineLevel="0" collapsed="false">
      <c r="A16" s="6" t="n">
        <f aca="false">ROW()-7</f>
        <v>9</v>
      </c>
      <c r="B16" s="7"/>
      <c r="C16" s="7"/>
      <c r="D16" s="8"/>
      <c r="E16" s="9"/>
      <c r="F16" s="10" t="str">
        <f aca="false">IF(E16="","",IF(E16&gt;=250000,"Above 250k",IF(E16&gt;=150000,"150k-250k","Below 150k")))</f>
        <v/>
      </c>
      <c r="G16" s="11" t="str">
        <f aca="false">IF(E16="","",$D$3)</f>
        <v/>
      </c>
      <c r="H16" s="12" t="str">
        <f aca="false">IF(E16="","",E16*G16)</f>
        <v/>
      </c>
      <c r="I16" s="11" t="str">
        <f aca="false">IF(F16="","",IF(F16="Above 250k",$D$4,IF(F16="150k-250k",$D$5,0)))</f>
        <v/>
      </c>
      <c r="J16" s="12" t="str">
        <f aca="false">IF(E16="","",E16*I16)</f>
        <v/>
      </c>
      <c r="K16" s="9"/>
      <c r="L16" s="12" t="str">
        <f aca="false">IF(OR(E16="",K16=""),"",E16-K16)</f>
        <v/>
      </c>
      <c r="M16" s="11" t="str">
        <f aca="false">IF(OR(L16="",E16="",E16=0),"",L16/E16)</f>
        <v/>
      </c>
      <c r="N16" s="9"/>
      <c r="O16" s="12" t="str">
        <f aca="false">IF(OR(E16="",N16=""),"",H16+J16+N16)</f>
        <v/>
      </c>
      <c r="P16" s="11" t="str">
        <f aca="false">IF(OR(O16="",E16="",E16=0),"",O16/E16)</f>
        <v/>
      </c>
      <c r="Q16" s="13" t="str">
        <f aca="false">IF(OR(O16="",L16="",L16=0),"",O16/L16)</f>
        <v/>
      </c>
      <c r="R16" s="14" t="str">
        <f aca="false">IF(Q16="","",IF(Q16&gt;0.4,"High Risk",IF(Q16&gt;=0.3,"Caution","Healthy")))</f>
        <v/>
      </c>
    </row>
    <row r="17" customFormat="false" ht="15" hidden="false" customHeight="false" outlineLevel="0" collapsed="false">
      <c r="A17" s="6" t="n">
        <f aca="false">ROW()-7</f>
        <v>10</v>
      </c>
      <c r="B17" s="7"/>
      <c r="C17" s="7"/>
      <c r="D17" s="8"/>
      <c r="E17" s="9"/>
      <c r="F17" s="10" t="str">
        <f aca="false">IF(E17="","",IF(E17&gt;=250000,"Above 250k",IF(E17&gt;=150000,"150k-250k","Below 150k")))</f>
        <v/>
      </c>
      <c r="G17" s="11" t="str">
        <f aca="false">IF(E17="","",$D$3)</f>
        <v/>
      </c>
      <c r="H17" s="12" t="str">
        <f aca="false">IF(E17="","",E17*G17)</f>
        <v/>
      </c>
      <c r="I17" s="11" t="str">
        <f aca="false">IF(F17="","",IF(F17="Above 250k",$D$4,IF(F17="150k-250k",$D$5,0)))</f>
        <v/>
      </c>
      <c r="J17" s="12" t="str">
        <f aca="false">IF(E17="","",E17*I17)</f>
        <v/>
      </c>
      <c r="K17" s="9"/>
      <c r="L17" s="12" t="str">
        <f aca="false">IF(OR(E17="",K17=""),"",E17-K17)</f>
        <v/>
      </c>
      <c r="M17" s="11" t="str">
        <f aca="false">IF(OR(L17="",E17="",E17=0),"",L17/E17)</f>
        <v/>
      </c>
      <c r="N17" s="9"/>
      <c r="O17" s="12" t="str">
        <f aca="false">IF(OR(E17="",N17=""),"",H17+J17+N17)</f>
        <v/>
      </c>
      <c r="P17" s="11" t="str">
        <f aca="false">IF(OR(O17="",E17="",E17=0),"",O17/E17)</f>
        <v/>
      </c>
      <c r="Q17" s="13" t="str">
        <f aca="false">IF(OR(O17="",L17="",L17=0),"",O17/L17)</f>
        <v/>
      </c>
      <c r="R17" s="14" t="str">
        <f aca="false">IF(Q17="","",IF(Q17&gt;0.4,"High Risk",IF(Q17&gt;=0.3,"Caution","Healthy")))</f>
        <v/>
      </c>
    </row>
    <row r="18" customFormat="false" ht="15" hidden="false" customHeight="false" outlineLevel="0" collapsed="false">
      <c r="A18" s="6" t="n">
        <f aca="false">ROW()-7</f>
        <v>11</v>
      </c>
      <c r="B18" s="7"/>
      <c r="C18" s="7"/>
      <c r="D18" s="8"/>
      <c r="E18" s="9"/>
      <c r="F18" s="10" t="str">
        <f aca="false">IF(E18="","",IF(E18&gt;=250000,"Above 250k",IF(E18&gt;=150000,"150k-250k","Below 150k")))</f>
        <v/>
      </c>
      <c r="G18" s="11" t="str">
        <f aca="false">IF(E18="","",$D$3)</f>
        <v/>
      </c>
      <c r="H18" s="12" t="str">
        <f aca="false">IF(E18="","",E18*G18)</f>
        <v/>
      </c>
      <c r="I18" s="11" t="str">
        <f aca="false">IF(F18="","",IF(F18="Above 250k",$D$4,IF(F18="150k-250k",$D$5,0)))</f>
        <v/>
      </c>
      <c r="J18" s="12" t="str">
        <f aca="false">IF(E18="","",E18*I18)</f>
        <v/>
      </c>
      <c r="K18" s="9"/>
      <c r="L18" s="12" t="str">
        <f aca="false">IF(OR(E18="",K18=""),"",E18-K18)</f>
        <v/>
      </c>
      <c r="M18" s="11" t="str">
        <f aca="false">IF(OR(L18="",E18="",E18=0),"",L18/E18)</f>
        <v/>
      </c>
      <c r="N18" s="9"/>
      <c r="O18" s="12" t="str">
        <f aca="false">IF(OR(E18="",N18=""),"",H18+J18+N18)</f>
        <v/>
      </c>
      <c r="P18" s="11" t="str">
        <f aca="false">IF(OR(O18="",E18="",E18=0),"",O18/E18)</f>
        <v/>
      </c>
      <c r="Q18" s="13" t="str">
        <f aca="false">IF(OR(O18="",L18="",L18=0),"",O18/L18)</f>
        <v/>
      </c>
      <c r="R18" s="14" t="str">
        <f aca="false">IF(Q18="","",IF(Q18&gt;0.4,"High Risk",IF(Q18&gt;=0.3,"Caution","Healthy")))</f>
        <v/>
      </c>
    </row>
    <row r="19" customFormat="false" ht="15" hidden="false" customHeight="false" outlineLevel="0" collapsed="false">
      <c r="A19" s="6" t="n">
        <f aca="false">ROW()-7</f>
        <v>12</v>
      </c>
      <c r="B19" s="7"/>
      <c r="C19" s="7"/>
      <c r="D19" s="8"/>
      <c r="E19" s="9"/>
      <c r="F19" s="10" t="str">
        <f aca="false">IF(E19="","",IF(E19&gt;=250000,"Above 250k",IF(E19&gt;=150000,"150k-250k","Below 150k")))</f>
        <v/>
      </c>
      <c r="G19" s="11" t="str">
        <f aca="false">IF(E19="","",$D$3)</f>
        <v/>
      </c>
      <c r="H19" s="12" t="str">
        <f aca="false">IF(E19="","",E19*G19)</f>
        <v/>
      </c>
      <c r="I19" s="11" t="str">
        <f aca="false">IF(F19="","",IF(F19="Above 250k",$D$4,IF(F19="150k-250k",$D$5,0)))</f>
        <v/>
      </c>
      <c r="J19" s="12" t="str">
        <f aca="false">IF(E19="","",E19*I19)</f>
        <v/>
      </c>
      <c r="K19" s="9"/>
      <c r="L19" s="12" t="str">
        <f aca="false">IF(OR(E19="",K19=""),"",E19-K19)</f>
        <v/>
      </c>
      <c r="M19" s="11" t="str">
        <f aca="false">IF(OR(L19="",E19="",E19=0),"",L19/E19)</f>
        <v/>
      </c>
      <c r="N19" s="9"/>
      <c r="O19" s="12" t="str">
        <f aca="false">IF(OR(E19="",N19=""),"",H19+J19+N19)</f>
        <v/>
      </c>
      <c r="P19" s="11" t="str">
        <f aca="false">IF(OR(O19="",E19="",E19=0),"",O19/E19)</f>
        <v/>
      </c>
      <c r="Q19" s="13" t="str">
        <f aca="false">IF(OR(O19="",L19="",L19=0),"",O19/L19)</f>
        <v/>
      </c>
      <c r="R19" s="14" t="str">
        <f aca="false">IF(Q19="","",IF(Q19&gt;0.4,"High Risk",IF(Q19&gt;=0.3,"Caution","Healthy")))</f>
        <v/>
      </c>
    </row>
    <row r="20" customFormat="false" ht="15" hidden="false" customHeight="false" outlineLevel="0" collapsed="false">
      <c r="A20" s="6" t="n">
        <f aca="false">ROW()-7</f>
        <v>13</v>
      </c>
      <c r="B20" s="7"/>
      <c r="C20" s="7"/>
      <c r="D20" s="8"/>
      <c r="E20" s="9"/>
      <c r="F20" s="10" t="str">
        <f aca="false">IF(E20="","",IF(E20&gt;=250000,"Above 250k",IF(E20&gt;=150000,"150k-250k","Below 150k")))</f>
        <v/>
      </c>
      <c r="G20" s="11" t="str">
        <f aca="false">IF(E20="","",$D$3)</f>
        <v/>
      </c>
      <c r="H20" s="12" t="str">
        <f aca="false">IF(E20="","",E20*G20)</f>
        <v/>
      </c>
      <c r="I20" s="11" t="str">
        <f aca="false">IF(F20="","",IF(F20="Above 250k",$D$4,IF(F20="150k-250k",$D$5,0)))</f>
        <v/>
      </c>
      <c r="J20" s="12" t="str">
        <f aca="false">IF(E20="","",E20*I20)</f>
        <v/>
      </c>
      <c r="K20" s="9"/>
      <c r="L20" s="12" t="str">
        <f aca="false">IF(OR(E20="",K20=""),"",E20-K20)</f>
        <v/>
      </c>
      <c r="M20" s="11" t="str">
        <f aca="false">IF(OR(L20="",E20="",E20=0),"",L20/E20)</f>
        <v/>
      </c>
      <c r="N20" s="9"/>
      <c r="O20" s="12" t="str">
        <f aca="false">IF(OR(E20="",N20=""),"",H20+J20+N20)</f>
        <v/>
      </c>
      <c r="P20" s="11" t="str">
        <f aca="false">IF(OR(O20="",E20="",E20=0),"",O20/E20)</f>
        <v/>
      </c>
      <c r="Q20" s="13" t="str">
        <f aca="false">IF(OR(O20="",L20="",L20=0),"",O20/L20)</f>
        <v/>
      </c>
      <c r="R20" s="14" t="str">
        <f aca="false">IF(Q20="","",IF(Q20&gt;0.4,"High Risk",IF(Q20&gt;=0.3,"Caution","Healthy")))</f>
        <v/>
      </c>
    </row>
    <row r="21" customFormat="false" ht="15" hidden="false" customHeight="false" outlineLevel="0" collapsed="false">
      <c r="A21" s="6" t="n">
        <f aca="false">ROW()-7</f>
        <v>14</v>
      </c>
      <c r="B21" s="7"/>
      <c r="C21" s="7"/>
      <c r="D21" s="8"/>
      <c r="E21" s="9"/>
      <c r="F21" s="10" t="str">
        <f aca="false">IF(E21="","",IF(E21&gt;=250000,"Above 250k",IF(E21&gt;=150000,"150k-250k","Below 150k")))</f>
        <v/>
      </c>
      <c r="G21" s="11" t="str">
        <f aca="false">IF(E21="","",$D$3)</f>
        <v/>
      </c>
      <c r="H21" s="12" t="str">
        <f aca="false">IF(E21="","",E21*G21)</f>
        <v/>
      </c>
      <c r="I21" s="11" t="str">
        <f aca="false">IF(F21="","",IF(F21="Above 250k",$D$4,IF(F21="150k-250k",$D$5,0)))</f>
        <v/>
      </c>
      <c r="J21" s="12" t="str">
        <f aca="false">IF(E21="","",E21*I21)</f>
        <v/>
      </c>
      <c r="K21" s="9"/>
      <c r="L21" s="12" t="str">
        <f aca="false">IF(OR(E21="",K21=""),"",E21-K21)</f>
        <v/>
      </c>
      <c r="M21" s="11" t="str">
        <f aca="false">IF(OR(L21="",E21="",E21=0),"",L21/E21)</f>
        <v/>
      </c>
      <c r="N21" s="9"/>
      <c r="O21" s="12" t="str">
        <f aca="false">IF(OR(E21="",N21=""),"",H21+J21+N21)</f>
        <v/>
      </c>
      <c r="P21" s="11" t="str">
        <f aca="false">IF(OR(O21="",E21="",E21=0),"",O21/E21)</f>
        <v/>
      </c>
      <c r="Q21" s="13" t="str">
        <f aca="false">IF(OR(O21="",L21="",L21=0),"",O21/L21)</f>
        <v/>
      </c>
      <c r="R21" s="14" t="str">
        <f aca="false">IF(Q21="","",IF(Q21&gt;0.4,"High Risk",IF(Q21&gt;=0.3,"Caution","Healthy")))</f>
        <v/>
      </c>
    </row>
    <row r="22" customFormat="false" ht="15" hidden="false" customHeight="false" outlineLevel="0" collapsed="false">
      <c r="A22" s="6" t="n">
        <f aca="false">ROW()-7</f>
        <v>15</v>
      </c>
      <c r="B22" s="7"/>
      <c r="C22" s="7"/>
      <c r="D22" s="8"/>
      <c r="E22" s="9"/>
      <c r="F22" s="10" t="str">
        <f aca="false">IF(E22="","",IF(E22&gt;=250000,"Above 250k",IF(E22&gt;=150000,"150k-250k","Below 150k")))</f>
        <v/>
      </c>
      <c r="G22" s="11" t="str">
        <f aca="false">IF(E22="","",$D$3)</f>
        <v/>
      </c>
      <c r="H22" s="12" t="str">
        <f aca="false">IF(E22="","",E22*G22)</f>
        <v/>
      </c>
      <c r="I22" s="11" t="str">
        <f aca="false">IF(F22="","",IF(F22="Above 250k",$D$4,IF(F22="150k-250k",$D$5,0)))</f>
        <v/>
      </c>
      <c r="J22" s="12" t="str">
        <f aca="false">IF(E22="","",E22*I22)</f>
        <v/>
      </c>
      <c r="K22" s="9"/>
      <c r="L22" s="12" t="str">
        <f aca="false">IF(OR(E22="",K22=""),"",E22-K22)</f>
        <v/>
      </c>
      <c r="M22" s="11" t="str">
        <f aca="false">IF(OR(L22="",E22="",E22=0),"",L22/E22)</f>
        <v/>
      </c>
      <c r="N22" s="9"/>
      <c r="O22" s="12" t="str">
        <f aca="false">IF(OR(E22="",N22=""),"",H22+J22+N22)</f>
        <v/>
      </c>
      <c r="P22" s="11" t="str">
        <f aca="false">IF(OR(O22="",E22="",E22=0),"",O22/E22)</f>
        <v/>
      </c>
      <c r="Q22" s="13" t="str">
        <f aca="false">IF(OR(O22="",L22="",L22=0),"",O22/L22)</f>
        <v/>
      </c>
      <c r="R22" s="14" t="str">
        <f aca="false">IF(Q22="","",IF(Q22&gt;0.4,"High Risk",IF(Q22&gt;=0.3,"Caution","Healthy")))</f>
        <v/>
      </c>
    </row>
    <row r="23" customFormat="false" ht="15" hidden="false" customHeight="false" outlineLevel="0" collapsed="false">
      <c r="A23" s="6" t="n">
        <f aca="false">ROW()-7</f>
        <v>16</v>
      </c>
      <c r="B23" s="7"/>
      <c r="C23" s="7"/>
      <c r="D23" s="8"/>
      <c r="E23" s="9"/>
      <c r="F23" s="10" t="str">
        <f aca="false">IF(E23="","",IF(E23&gt;=250000,"Above 250k",IF(E23&gt;=150000,"150k-250k","Below 150k")))</f>
        <v/>
      </c>
      <c r="G23" s="11" t="str">
        <f aca="false">IF(E23="","",$D$3)</f>
        <v/>
      </c>
      <c r="H23" s="12" t="str">
        <f aca="false">IF(E23="","",E23*G23)</f>
        <v/>
      </c>
      <c r="I23" s="11" t="str">
        <f aca="false">IF(F23="","",IF(F23="Above 250k",$D$4,IF(F23="150k-250k",$D$5,0)))</f>
        <v/>
      </c>
      <c r="J23" s="12" t="str">
        <f aca="false">IF(E23="","",E23*I23)</f>
        <v/>
      </c>
      <c r="K23" s="9"/>
      <c r="L23" s="12" t="str">
        <f aca="false">IF(OR(E23="",K23=""),"",E23-K23)</f>
        <v/>
      </c>
      <c r="M23" s="11" t="str">
        <f aca="false">IF(OR(L23="",E23="",E23=0),"",L23/E23)</f>
        <v/>
      </c>
      <c r="N23" s="9"/>
      <c r="O23" s="12" t="str">
        <f aca="false">IF(OR(E23="",N23=""),"",H23+J23+N23)</f>
        <v/>
      </c>
      <c r="P23" s="11" t="str">
        <f aca="false">IF(OR(O23="",E23="",E23=0),"",O23/E23)</f>
        <v/>
      </c>
      <c r="Q23" s="13" t="str">
        <f aca="false">IF(OR(O23="",L23="",L23=0),"",O23/L23)</f>
        <v/>
      </c>
      <c r="R23" s="14" t="str">
        <f aca="false">IF(Q23="","",IF(Q23&gt;0.4,"High Risk",IF(Q23&gt;=0.3,"Caution","Healthy")))</f>
        <v/>
      </c>
    </row>
    <row r="24" customFormat="false" ht="15" hidden="false" customHeight="false" outlineLevel="0" collapsed="false">
      <c r="A24" s="6" t="n">
        <f aca="false">ROW()-7</f>
        <v>17</v>
      </c>
      <c r="B24" s="7"/>
      <c r="C24" s="7"/>
      <c r="D24" s="8"/>
      <c r="E24" s="9"/>
      <c r="F24" s="10" t="str">
        <f aca="false">IF(E24="","",IF(E24&gt;=250000,"Above 250k",IF(E24&gt;=150000,"150k-250k","Below 150k")))</f>
        <v/>
      </c>
      <c r="G24" s="11" t="str">
        <f aca="false">IF(E24="","",$D$3)</f>
        <v/>
      </c>
      <c r="H24" s="12" t="str">
        <f aca="false">IF(E24="","",E24*G24)</f>
        <v/>
      </c>
      <c r="I24" s="11" t="str">
        <f aca="false">IF(F24="","",IF(F24="Above 250k",$D$4,IF(F24="150k-250k",$D$5,0)))</f>
        <v/>
      </c>
      <c r="J24" s="12" t="str">
        <f aca="false">IF(E24="","",E24*I24)</f>
        <v/>
      </c>
      <c r="K24" s="9"/>
      <c r="L24" s="12" t="str">
        <f aca="false">IF(OR(E24="",K24=""),"",E24-K24)</f>
        <v/>
      </c>
      <c r="M24" s="11" t="str">
        <f aca="false">IF(OR(L24="",E24="",E24=0),"",L24/E24)</f>
        <v/>
      </c>
      <c r="N24" s="9"/>
      <c r="O24" s="12" t="str">
        <f aca="false">IF(OR(E24="",N24=""),"",H24+J24+N24)</f>
        <v/>
      </c>
      <c r="P24" s="11" t="str">
        <f aca="false">IF(OR(O24="",E24="",E24=0),"",O24/E24)</f>
        <v/>
      </c>
      <c r="Q24" s="13" t="str">
        <f aca="false">IF(OR(O24="",L24="",L24=0),"",O24/L24)</f>
        <v/>
      </c>
      <c r="R24" s="14" t="str">
        <f aca="false">IF(Q24="","",IF(Q24&gt;0.4,"High Risk",IF(Q24&gt;=0.3,"Caution","Healthy")))</f>
        <v/>
      </c>
    </row>
    <row r="25" customFormat="false" ht="15" hidden="false" customHeight="false" outlineLevel="0" collapsed="false">
      <c r="A25" s="6" t="n">
        <f aca="false">ROW()-7</f>
        <v>18</v>
      </c>
      <c r="B25" s="7"/>
      <c r="C25" s="7"/>
      <c r="D25" s="8"/>
      <c r="E25" s="9"/>
      <c r="F25" s="10" t="str">
        <f aca="false">IF(E25="","",IF(E25&gt;=250000,"Above 250k",IF(E25&gt;=150000,"150k-250k","Below 150k")))</f>
        <v/>
      </c>
      <c r="G25" s="11" t="str">
        <f aca="false">IF(E25="","",$D$3)</f>
        <v/>
      </c>
      <c r="H25" s="12" t="str">
        <f aca="false">IF(E25="","",E25*G25)</f>
        <v/>
      </c>
      <c r="I25" s="11" t="str">
        <f aca="false">IF(F25="","",IF(F25="Above 250k",$D$4,IF(F25="150k-250k",$D$5,0)))</f>
        <v/>
      </c>
      <c r="J25" s="12" t="str">
        <f aca="false">IF(E25="","",E25*I25)</f>
        <v/>
      </c>
      <c r="K25" s="9"/>
      <c r="L25" s="12" t="str">
        <f aca="false">IF(OR(E25="",K25=""),"",E25-K25)</f>
        <v/>
      </c>
      <c r="M25" s="11" t="str">
        <f aca="false">IF(OR(L25="",E25="",E25=0),"",L25/E25)</f>
        <v/>
      </c>
      <c r="N25" s="9"/>
      <c r="O25" s="12" t="str">
        <f aca="false">IF(OR(E25="",N25=""),"",H25+J25+N25)</f>
        <v/>
      </c>
      <c r="P25" s="11" t="str">
        <f aca="false">IF(OR(O25="",E25="",E25=0),"",O25/E25)</f>
        <v/>
      </c>
      <c r="Q25" s="13" t="str">
        <f aca="false">IF(OR(O25="",L25="",L25=0),"",O25/L25)</f>
        <v/>
      </c>
      <c r="R25" s="14" t="str">
        <f aca="false">IF(Q25="","",IF(Q25&gt;0.4,"High Risk",IF(Q25&gt;=0.3,"Caution","Healthy")))</f>
        <v/>
      </c>
    </row>
    <row r="26" customFormat="false" ht="15" hidden="false" customHeight="false" outlineLevel="0" collapsed="false">
      <c r="A26" s="6" t="n">
        <f aca="false">ROW()-7</f>
        <v>19</v>
      </c>
      <c r="B26" s="7"/>
      <c r="C26" s="7"/>
      <c r="D26" s="8"/>
      <c r="E26" s="9"/>
      <c r="F26" s="10" t="str">
        <f aca="false">IF(E26="","",IF(E26&gt;=250000,"Above 250k",IF(E26&gt;=150000,"150k-250k","Below 150k")))</f>
        <v/>
      </c>
      <c r="G26" s="11" t="str">
        <f aca="false">IF(E26="","",$D$3)</f>
        <v/>
      </c>
      <c r="H26" s="12" t="str">
        <f aca="false">IF(E26="","",E26*G26)</f>
        <v/>
      </c>
      <c r="I26" s="11" t="str">
        <f aca="false">IF(F26="","",IF(F26="Above 250k",$D$4,IF(F26="150k-250k",$D$5,0)))</f>
        <v/>
      </c>
      <c r="J26" s="12" t="str">
        <f aca="false">IF(E26="","",E26*I26)</f>
        <v/>
      </c>
      <c r="K26" s="9"/>
      <c r="L26" s="12" t="str">
        <f aca="false">IF(OR(E26="",K26=""),"",E26-K26)</f>
        <v/>
      </c>
      <c r="M26" s="11" t="str">
        <f aca="false">IF(OR(L26="",E26="",E26=0),"",L26/E26)</f>
        <v/>
      </c>
      <c r="N26" s="9"/>
      <c r="O26" s="12" t="str">
        <f aca="false">IF(OR(E26="",N26=""),"",H26+J26+N26)</f>
        <v/>
      </c>
      <c r="P26" s="11" t="str">
        <f aca="false">IF(OR(O26="",E26="",E26=0),"",O26/E26)</f>
        <v/>
      </c>
      <c r="Q26" s="13" t="str">
        <f aca="false">IF(OR(O26="",L26="",L26=0),"",O26/L26)</f>
        <v/>
      </c>
      <c r="R26" s="14" t="str">
        <f aca="false">IF(Q26="","",IF(Q26&gt;0.4,"High Risk",IF(Q26&gt;=0.3,"Caution","Healthy")))</f>
        <v/>
      </c>
    </row>
    <row r="27" customFormat="false" ht="15" hidden="false" customHeight="false" outlineLevel="0" collapsed="false">
      <c r="A27" s="6" t="n">
        <f aca="false">ROW()-7</f>
        <v>20</v>
      </c>
      <c r="B27" s="7"/>
      <c r="C27" s="7"/>
      <c r="D27" s="8"/>
      <c r="E27" s="9"/>
      <c r="F27" s="10" t="str">
        <f aca="false">IF(E27="","",IF(E27&gt;=250000,"Above 250k",IF(E27&gt;=150000,"150k-250k","Below 150k")))</f>
        <v/>
      </c>
      <c r="G27" s="11" t="str">
        <f aca="false">IF(E27="","",$D$3)</f>
        <v/>
      </c>
      <c r="H27" s="12" t="str">
        <f aca="false">IF(E27="","",E27*G27)</f>
        <v/>
      </c>
      <c r="I27" s="11" t="str">
        <f aca="false">IF(F27="","",IF(F27="Above 250k",$D$4,IF(F27="150k-250k",$D$5,0)))</f>
        <v/>
      </c>
      <c r="J27" s="12" t="str">
        <f aca="false">IF(E27="","",E27*I27)</f>
        <v/>
      </c>
      <c r="K27" s="9"/>
      <c r="L27" s="12" t="str">
        <f aca="false">IF(OR(E27="",K27=""),"",E27-K27)</f>
        <v/>
      </c>
      <c r="M27" s="11" t="str">
        <f aca="false">IF(OR(L27="",E27="",E27=0),"",L27/E27)</f>
        <v/>
      </c>
      <c r="N27" s="9"/>
      <c r="O27" s="12" t="str">
        <f aca="false">IF(OR(E27="",N27=""),"",H27+J27+N27)</f>
        <v/>
      </c>
      <c r="P27" s="11" t="str">
        <f aca="false">IF(OR(O27="",E27="",E27=0),"",O27/E27)</f>
        <v/>
      </c>
      <c r="Q27" s="13" t="str">
        <f aca="false">IF(OR(O27="",L27="",L27=0),"",O27/L27)</f>
        <v/>
      </c>
      <c r="R27" s="14" t="str">
        <f aca="false">IF(Q27="","",IF(Q27&gt;0.4,"High Risk",IF(Q27&gt;=0.3,"Caution","Healthy")))</f>
        <v/>
      </c>
    </row>
    <row r="28" customFormat="false" ht="15" hidden="false" customHeight="false" outlineLevel="0" collapsed="false">
      <c r="A28" s="6" t="n">
        <f aca="false">ROW()-7</f>
        <v>21</v>
      </c>
      <c r="B28" s="7"/>
      <c r="C28" s="7"/>
      <c r="D28" s="8"/>
      <c r="E28" s="9"/>
      <c r="F28" s="10" t="str">
        <f aca="false">IF(E28="","",IF(E28&gt;=250000,"Above 250k",IF(E28&gt;=150000,"150k-250k","Below 150k")))</f>
        <v/>
      </c>
      <c r="G28" s="11" t="str">
        <f aca="false">IF(E28="","",$D$3)</f>
        <v/>
      </c>
      <c r="H28" s="12" t="str">
        <f aca="false">IF(E28="","",E28*G28)</f>
        <v/>
      </c>
      <c r="I28" s="11" t="str">
        <f aca="false">IF(F28="","",IF(F28="Above 250k",$D$4,IF(F28="150k-250k",$D$5,0)))</f>
        <v/>
      </c>
      <c r="J28" s="12" t="str">
        <f aca="false">IF(E28="","",E28*I28)</f>
        <v/>
      </c>
      <c r="K28" s="9"/>
      <c r="L28" s="12" t="str">
        <f aca="false">IF(OR(E28="",K28=""),"",E28-K28)</f>
        <v/>
      </c>
      <c r="M28" s="11" t="str">
        <f aca="false">IF(OR(L28="",E28="",E28=0),"",L28/E28)</f>
        <v/>
      </c>
      <c r="N28" s="9"/>
      <c r="O28" s="12" t="str">
        <f aca="false">IF(OR(E28="",N28=""),"",H28+J28+N28)</f>
        <v/>
      </c>
      <c r="P28" s="11" t="str">
        <f aca="false">IF(OR(O28="",E28="",E28=0),"",O28/E28)</f>
        <v/>
      </c>
      <c r="Q28" s="13" t="str">
        <f aca="false">IF(OR(O28="",L28="",L28=0),"",O28/L28)</f>
        <v/>
      </c>
      <c r="R28" s="14" t="str">
        <f aca="false">IF(Q28="","",IF(Q28&gt;0.4,"High Risk",IF(Q28&gt;=0.3,"Caution","Healthy")))</f>
        <v/>
      </c>
    </row>
    <row r="29" customFormat="false" ht="15" hidden="false" customHeight="false" outlineLevel="0" collapsed="false">
      <c r="A29" s="6" t="n">
        <f aca="false">ROW()-7</f>
        <v>22</v>
      </c>
      <c r="B29" s="7"/>
      <c r="C29" s="7"/>
      <c r="D29" s="8"/>
      <c r="E29" s="9"/>
      <c r="F29" s="10" t="str">
        <f aca="false">IF(E29="","",IF(E29&gt;=250000,"Above 250k",IF(E29&gt;=150000,"150k-250k","Below 150k")))</f>
        <v/>
      </c>
      <c r="G29" s="11" t="str">
        <f aca="false">IF(E29="","",$D$3)</f>
        <v/>
      </c>
      <c r="H29" s="12" t="str">
        <f aca="false">IF(E29="","",E29*G29)</f>
        <v/>
      </c>
      <c r="I29" s="11" t="str">
        <f aca="false">IF(F29="","",IF(F29="Above 250k",$D$4,IF(F29="150k-250k",$D$5,0)))</f>
        <v/>
      </c>
      <c r="J29" s="12" t="str">
        <f aca="false">IF(E29="","",E29*I29)</f>
        <v/>
      </c>
      <c r="K29" s="9"/>
      <c r="L29" s="12" t="str">
        <f aca="false">IF(OR(E29="",K29=""),"",E29-K29)</f>
        <v/>
      </c>
      <c r="M29" s="11" t="str">
        <f aca="false">IF(OR(L29="",E29="",E29=0),"",L29/E29)</f>
        <v/>
      </c>
      <c r="N29" s="9"/>
      <c r="O29" s="12" t="str">
        <f aca="false">IF(OR(E29="",N29=""),"",H29+J29+N29)</f>
        <v/>
      </c>
      <c r="P29" s="11" t="str">
        <f aca="false">IF(OR(O29="",E29="",E29=0),"",O29/E29)</f>
        <v/>
      </c>
      <c r="Q29" s="13" t="str">
        <f aca="false">IF(OR(O29="",L29="",L29=0),"",O29/L29)</f>
        <v/>
      </c>
      <c r="R29" s="14" t="str">
        <f aca="false">IF(Q29="","",IF(Q29&gt;0.4,"High Risk",IF(Q29&gt;=0.3,"Caution","Healthy")))</f>
        <v/>
      </c>
    </row>
    <row r="30" customFormat="false" ht="15" hidden="false" customHeight="false" outlineLevel="0" collapsed="false">
      <c r="A30" s="6" t="n">
        <f aca="false">ROW()-7</f>
        <v>23</v>
      </c>
      <c r="B30" s="7"/>
      <c r="C30" s="7"/>
      <c r="D30" s="8"/>
      <c r="E30" s="9"/>
      <c r="F30" s="10" t="str">
        <f aca="false">IF(E30="","",IF(E30&gt;=250000,"Above 250k",IF(E30&gt;=150000,"150k-250k","Below 150k")))</f>
        <v/>
      </c>
      <c r="G30" s="11" t="str">
        <f aca="false">IF(E30="","",$D$3)</f>
        <v/>
      </c>
      <c r="H30" s="12" t="str">
        <f aca="false">IF(E30="","",E30*G30)</f>
        <v/>
      </c>
      <c r="I30" s="11" t="str">
        <f aca="false">IF(F30="","",IF(F30="Above 250k",$D$4,IF(F30="150k-250k",$D$5,0)))</f>
        <v/>
      </c>
      <c r="J30" s="12" t="str">
        <f aca="false">IF(E30="","",E30*I30)</f>
        <v/>
      </c>
      <c r="K30" s="9"/>
      <c r="L30" s="12" t="str">
        <f aca="false">IF(OR(E30="",K30=""),"",E30-K30)</f>
        <v/>
      </c>
      <c r="M30" s="11" t="str">
        <f aca="false">IF(OR(L30="",E30="",E30=0),"",L30/E30)</f>
        <v/>
      </c>
      <c r="N30" s="9"/>
      <c r="O30" s="12" t="str">
        <f aca="false">IF(OR(E30="",N30=""),"",H30+J30+N30)</f>
        <v/>
      </c>
      <c r="P30" s="11" t="str">
        <f aca="false">IF(OR(O30="",E30="",E30=0),"",O30/E30)</f>
        <v/>
      </c>
      <c r="Q30" s="13" t="str">
        <f aca="false">IF(OR(O30="",L30="",L30=0),"",O30/L30)</f>
        <v/>
      </c>
      <c r="R30" s="14" t="str">
        <f aca="false">IF(Q30="","",IF(Q30&gt;0.4,"High Risk",IF(Q30&gt;=0.3,"Caution","Healthy")))</f>
        <v/>
      </c>
    </row>
    <row r="31" customFormat="false" ht="15" hidden="false" customHeight="false" outlineLevel="0" collapsed="false">
      <c r="A31" s="6" t="n">
        <f aca="false">ROW()-7</f>
        <v>24</v>
      </c>
      <c r="B31" s="7"/>
      <c r="C31" s="7"/>
      <c r="D31" s="8"/>
      <c r="E31" s="9"/>
      <c r="F31" s="10" t="str">
        <f aca="false">IF(E31="","",IF(E31&gt;=250000,"Above 250k",IF(E31&gt;=150000,"150k-250k","Below 150k")))</f>
        <v/>
      </c>
      <c r="G31" s="11" t="str">
        <f aca="false">IF(E31="","",$D$3)</f>
        <v/>
      </c>
      <c r="H31" s="12" t="str">
        <f aca="false">IF(E31="","",E31*G31)</f>
        <v/>
      </c>
      <c r="I31" s="11" t="str">
        <f aca="false">IF(F31="","",IF(F31="Above 250k",$D$4,IF(F31="150k-250k",$D$5,0)))</f>
        <v/>
      </c>
      <c r="J31" s="12" t="str">
        <f aca="false">IF(E31="","",E31*I31)</f>
        <v/>
      </c>
      <c r="K31" s="9"/>
      <c r="L31" s="12" t="str">
        <f aca="false">IF(OR(E31="",K31=""),"",E31-K31)</f>
        <v/>
      </c>
      <c r="M31" s="11" t="str">
        <f aca="false">IF(OR(L31="",E31="",E31=0),"",L31/E31)</f>
        <v/>
      </c>
      <c r="N31" s="9"/>
      <c r="O31" s="12" t="str">
        <f aca="false">IF(OR(E31="",N31=""),"",H31+J31+N31)</f>
        <v/>
      </c>
      <c r="P31" s="11" t="str">
        <f aca="false">IF(OR(O31="",E31="",E31=0),"",O31/E31)</f>
        <v/>
      </c>
      <c r="Q31" s="13" t="str">
        <f aca="false">IF(OR(O31="",L31="",L31=0),"",O31/L31)</f>
        <v/>
      </c>
      <c r="R31" s="14" t="str">
        <f aca="false">IF(Q31="","",IF(Q31&gt;0.4,"High Risk",IF(Q31&gt;=0.3,"Caution","Healthy")))</f>
        <v/>
      </c>
    </row>
    <row r="32" customFormat="false" ht="15" hidden="false" customHeight="false" outlineLevel="0" collapsed="false">
      <c r="A32" s="6" t="n">
        <f aca="false">ROW()-7</f>
        <v>25</v>
      </c>
      <c r="B32" s="7"/>
      <c r="C32" s="7"/>
      <c r="D32" s="8"/>
      <c r="E32" s="9"/>
      <c r="F32" s="10" t="str">
        <f aca="false">IF(E32="","",IF(E32&gt;=250000,"Above 250k",IF(E32&gt;=150000,"150k-250k","Below 150k")))</f>
        <v/>
      </c>
      <c r="G32" s="11" t="str">
        <f aca="false">IF(E32="","",$D$3)</f>
        <v/>
      </c>
      <c r="H32" s="12" t="str">
        <f aca="false">IF(E32="","",E32*G32)</f>
        <v/>
      </c>
      <c r="I32" s="11" t="str">
        <f aca="false">IF(F32="","",IF(F32="Above 250k",$D$4,IF(F32="150k-250k",$D$5,0)))</f>
        <v/>
      </c>
      <c r="J32" s="12" t="str">
        <f aca="false">IF(E32="","",E32*I32)</f>
        <v/>
      </c>
      <c r="K32" s="9"/>
      <c r="L32" s="12" t="str">
        <f aca="false">IF(OR(E32="",K32=""),"",E32-K32)</f>
        <v/>
      </c>
      <c r="M32" s="11" t="str">
        <f aca="false">IF(OR(L32="",E32="",E32=0),"",L32/E32)</f>
        <v/>
      </c>
      <c r="N32" s="9"/>
      <c r="O32" s="12" t="str">
        <f aca="false">IF(OR(E32="",N32=""),"",H32+J32+N32)</f>
        <v/>
      </c>
      <c r="P32" s="11" t="str">
        <f aca="false">IF(OR(O32="",E32="",E32=0),"",O32/E32)</f>
        <v/>
      </c>
      <c r="Q32" s="13" t="str">
        <f aca="false">IF(OR(O32="",L32="",L32=0),"",O32/L32)</f>
        <v/>
      </c>
      <c r="R32" s="14" t="str">
        <f aca="false">IF(Q32="","",IF(Q32&gt;0.4,"High Risk",IF(Q32&gt;=0.3,"Caution","Healthy")))</f>
        <v/>
      </c>
    </row>
    <row r="33" customFormat="false" ht="15" hidden="false" customHeight="false" outlineLevel="0" collapsed="false">
      <c r="A33" s="6" t="n">
        <f aca="false">ROW()-7</f>
        <v>26</v>
      </c>
      <c r="B33" s="7"/>
      <c r="C33" s="7"/>
      <c r="D33" s="8"/>
      <c r="E33" s="9"/>
      <c r="F33" s="10" t="str">
        <f aca="false">IF(E33="","",IF(E33&gt;=250000,"Above 250k",IF(E33&gt;=150000,"150k-250k","Below 150k")))</f>
        <v/>
      </c>
      <c r="G33" s="11" t="str">
        <f aca="false">IF(E33="","",$D$3)</f>
        <v/>
      </c>
      <c r="H33" s="12" t="str">
        <f aca="false">IF(E33="","",E33*G33)</f>
        <v/>
      </c>
      <c r="I33" s="11" t="str">
        <f aca="false">IF(F33="","",IF(F33="Above 250k",$D$4,IF(F33="150k-250k",$D$5,0)))</f>
        <v/>
      </c>
      <c r="J33" s="12" t="str">
        <f aca="false">IF(E33="","",E33*I33)</f>
        <v/>
      </c>
      <c r="K33" s="9"/>
      <c r="L33" s="12" t="str">
        <f aca="false">IF(OR(E33="",K33=""),"",E33-K33)</f>
        <v/>
      </c>
      <c r="M33" s="11" t="str">
        <f aca="false">IF(OR(L33="",E33="",E33=0),"",L33/E33)</f>
        <v/>
      </c>
      <c r="N33" s="9"/>
      <c r="O33" s="12" t="str">
        <f aca="false">IF(OR(E33="",N33=""),"",H33+J33+N33)</f>
        <v/>
      </c>
      <c r="P33" s="11" t="str">
        <f aca="false">IF(OR(O33="",E33="",E33=0),"",O33/E33)</f>
        <v/>
      </c>
      <c r="Q33" s="13" t="str">
        <f aca="false">IF(OR(O33="",L33="",L33=0),"",O33/L33)</f>
        <v/>
      </c>
      <c r="R33" s="14" t="str">
        <f aca="false">IF(Q33="","",IF(Q33&gt;0.4,"High Risk",IF(Q33&gt;=0.3,"Caution","Healthy")))</f>
        <v/>
      </c>
    </row>
    <row r="34" customFormat="false" ht="15" hidden="false" customHeight="false" outlineLevel="0" collapsed="false">
      <c r="A34" s="6" t="n">
        <f aca="false">ROW()-7</f>
        <v>27</v>
      </c>
      <c r="B34" s="7"/>
      <c r="C34" s="7"/>
      <c r="D34" s="8"/>
      <c r="E34" s="9"/>
      <c r="F34" s="10" t="str">
        <f aca="false">IF(E34="","",IF(E34&gt;=250000,"Above 250k",IF(E34&gt;=150000,"150k-250k","Below 150k")))</f>
        <v/>
      </c>
      <c r="G34" s="11" t="str">
        <f aca="false">IF(E34="","",$D$3)</f>
        <v/>
      </c>
      <c r="H34" s="12" t="str">
        <f aca="false">IF(E34="","",E34*G34)</f>
        <v/>
      </c>
      <c r="I34" s="11" t="str">
        <f aca="false">IF(F34="","",IF(F34="Above 250k",$D$4,IF(F34="150k-250k",$D$5,0)))</f>
        <v/>
      </c>
      <c r="J34" s="12" t="str">
        <f aca="false">IF(E34="","",E34*I34)</f>
        <v/>
      </c>
      <c r="K34" s="9"/>
      <c r="L34" s="12" t="str">
        <f aca="false">IF(OR(E34="",K34=""),"",E34-K34)</f>
        <v/>
      </c>
      <c r="M34" s="11" t="str">
        <f aca="false">IF(OR(L34="",E34="",E34=0),"",L34/E34)</f>
        <v/>
      </c>
      <c r="N34" s="9"/>
      <c r="O34" s="12" t="str">
        <f aca="false">IF(OR(E34="",N34=""),"",H34+J34+N34)</f>
        <v/>
      </c>
      <c r="P34" s="11" t="str">
        <f aca="false">IF(OR(O34="",E34="",E34=0),"",O34/E34)</f>
        <v/>
      </c>
      <c r="Q34" s="13" t="str">
        <f aca="false">IF(OR(O34="",L34="",L34=0),"",O34/L34)</f>
        <v/>
      </c>
      <c r="R34" s="14" t="str">
        <f aca="false">IF(Q34="","",IF(Q34&gt;0.4,"High Risk",IF(Q34&gt;=0.3,"Caution","Healthy")))</f>
        <v/>
      </c>
    </row>
    <row r="35" customFormat="false" ht="15" hidden="false" customHeight="false" outlineLevel="0" collapsed="false">
      <c r="A35" s="6" t="n">
        <f aca="false">ROW()-7</f>
        <v>28</v>
      </c>
      <c r="B35" s="7"/>
      <c r="C35" s="7"/>
      <c r="D35" s="8"/>
      <c r="E35" s="9"/>
      <c r="F35" s="10" t="str">
        <f aca="false">IF(E35="","",IF(E35&gt;=250000,"Above 250k",IF(E35&gt;=150000,"150k-250k","Below 150k")))</f>
        <v/>
      </c>
      <c r="G35" s="11" t="str">
        <f aca="false">IF(E35="","",$D$3)</f>
        <v/>
      </c>
      <c r="H35" s="12" t="str">
        <f aca="false">IF(E35="","",E35*G35)</f>
        <v/>
      </c>
      <c r="I35" s="11" t="str">
        <f aca="false">IF(F35="","",IF(F35="Above 250k",$D$4,IF(F35="150k-250k",$D$5,0)))</f>
        <v/>
      </c>
      <c r="J35" s="12" t="str">
        <f aca="false">IF(E35="","",E35*I35)</f>
        <v/>
      </c>
      <c r="K35" s="9"/>
      <c r="L35" s="12" t="str">
        <f aca="false">IF(OR(E35="",K35=""),"",E35-K35)</f>
        <v/>
      </c>
      <c r="M35" s="11" t="str">
        <f aca="false">IF(OR(L35="",E35="",E35=0),"",L35/E35)</f>
        <v/>
      </c>
      <c r="N35" s="9"/>
      <c r="O35" s="12" t="str">
        <f aca="false">IF(OR(E35="",N35=""),"",H35+J35+N35)</f>
        <v/>
      </c>
      <c r="P35" s="11" t="str">
        <f aca="false">IF(OR(O35="",E35="",E35=0),"",O35/E35)</f>
        <v/>
      </c>
      <c r="Q35" s="13" t="str">
        <f aca="false">IF(OR(O35="",L35="",L35=0),"",O35/L35)</f>
        <v/>
      </c>
      <c r="R35" s="14" t="str">
        <f aca="false">IF(Q35="","",IF(Q35&gt;0.4,"High Risk",IF(Q35&gt;=0.3,"Caution","Healthy")))</f>
        <v/>
      </c>
    </row>
    <row r="36" customFormat="false" ht="15" hidden="false" customHeight="false" outlineLevel="0" collapsed="false">
      <c r="A36" s="6" t="n">
        <f aca="false">ROW()-7</f>
        <v>29</v>
      </c>
      <c r="B36" s="7"/>
      <c r="C36" s="7"/>
      <c r="D36" s="8"/>
      <c r="E36" s="9"/>
      <c r="F36" s="10" t="str">
        <f aca="false">IF(E36="","",IF(E36&gt;=250000,"Above 250k",IF(E36&gt;=150000,"150k-250k","Below 150k")))</f>
        <v/>
      </c>
      <c r="G36" s="11" t="str">
        <f aca="false">IF(E36="","",$D$3)</f>
        <v/>
      </c>
      <c r="H36" s="12" t="str">
        <f aca="false">IF(E36="","",E36*G36)</f>
        <v/>
      </c>
      <c r="I36" s="11" t="str">
        <f aca="false">IF(F36="","",IF(F36="Above 250k",$D$4,IF(F36="150k-250k",$D$5,0)))</f>
        <v/>
      </c>
      <c r="J36" s="12" t="str">
        <f aca="false">IF(E36="","",E36*I36)</f>
        <v/>
      </c>
      <c r="K36" s="9"/>
      <c r="L36" s="12" t="str">
        <f aca="false">IF(OR(E36="",K36=""),"",E36-K36)</f>
        <v/>
      </c>
      <c r="M36" s="11" t="str">
        <f aca="false">IF(OR(L36="",E36="",E36=0),"",L36/E36)</f>
        <v/>
      </c>
      <c r="N36" s="9"/>
      <c r="O36" s="12" t="str">
        <f aca="false">IF(OR(E36="",N36=""),"",H36+J36+N36)</f>
        <v/>
      </c>
      <c r="P36" s="11" t="str">
        <f aca="false">IF(OR(O36="",E36="",E36=0),"",O36/E36)</f>
        <v/>
      </c>
      <c r="Q36" s="13" t="str">
        <f aca="false">IF(OR(O36="",L36="",L36=0),"",O36/L36)</f>
        <v/>
      </c>
      <c r="R36" s="14" t="str">
        <f aca="false">IF(Q36="","",IF(Q36&gt;0.4,"High Risk",IF(Q36&gt;=0.3,"Caution","Healthy")))</f>
        <v/>
      </c>
    </row>
    <row r="37" customFormat="false" ht="15" hidden="false" customHeight="false" outlineLevel="0" collapsed="false">
      <c r="A37" s="6" t="n">
        <f aca="false">ROW()-7</f>
        <v>30</v>
      </c>
      <c r="B37" s="7"/>
      <c r="C37" s="7"/>
      <c r="D37" s="8"/>
      <c r="E37" s="9"/>
      <c r="F37" s="10" t="str">
        <f aca="false">IF(E37="","",IF(E37&gt;=250000,"Above 250k",IF(E37&gt;=150000,"150k-250k","Below 150k")))</f>
        <v/>
      </c>
      <c r="G37" s="11" t="str">
        <f aca="false">IF(E37="","",$D$3)</f>
        <v/>
      </c>
      <c r="H37" s="12" t="str">
        <f aca="false">IF(E37="","",E37*G37)</f>
        <v/>
      </c>
      <c r="I37" s="11" t="str">
        <f aca="false">IF(F37="","",IF(F37="Above 250k",$D$4,IF(F37="150k-250k",$D$5,0)))</f>
        <v/>
      </c>
      <c r="J37" s="12" t="str">
        <f aca="false">IF(E37="","",E37*I37)</f>
        <v/>
      </c>
      <c r="K37" s="9"/>
      <c r="L37" s="12" t="str">
        <f aca="false">IF(OR(E37="",K37=""),"",E37-K37)</f>
        <v/>
      </c>
      <c r="M37" s="11" t="str">
        <f aca="false">IF(OR(L37="",E37="",E37=0),"",L37/E37)</f>
        <v/>
      </c>
      <c r="N37" s="9"/>
      <c r="O37" s="12" t="str">
        <f aca="false">IF(OR(E37="",N37=""),"",H37+J37+N37)</f>
        <v/>
      </c>
      <c r="P37" s="11" t="str">
        <f aca="false">IF(OR(O37="",E37="",E37=0),"",O37/E37)</f>
        <v/>
      </c>
      <c r="Q37" s="13" t="str">
        <f aca="false">IF(OR(O37="",L37="",L37=0),"",O37/L37)</f>
        <v/>
      </c>
      <c r="R37" s="14" t="str">
        <f aca="false">IF(Q37="","",IF(Q37&gt;0.4,"High Risk",IF(Q37&gt;=0.3,"Caution","Healthy")))</f>
        <v/>
      </c>
    </row>
    <row r="39" customFormat="false" ht="15" hidden="false" customHeight="true" outlineLevel="0" collapsed="false">
      <c r="A39" s="15" t="s">
        <v>25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</sheetData>
  <mergeCells count="6">
    <mergeCell ref="A1:R1"/>
    <mergeCell ref="A2:R2"/>
    <mergeCell ref="A3:C3"/>
    <mergeCell ref="A4:C4"/>
    <mergeCell ref="A5:C5"/>
    <mergeCell ref="A39:R39"/>
  </mergeCells>
  <conditionalFormatting sqref="R8:R37">
    <cfRule type="expression" priority="2" aboveAverage="0" equalAverage="0" bottom="0" percent="0" rank="0" text="" dxfId="0">
      <formula>AND($Q8&lt;&gt;"",$Q8&gt;0.4)</formula>
    </cfRule>
    <cfRule type="expression" priority="3" aboveAverage="0" equalAverage="0" bottom="0" percent="0" rank="0" text="" dxfId="1">
      <formula>AND($Q8&lt;&gt;"",$Q8&gt;=0.3,$Q8&lt;=0.4)</formula>
    </cfRule>
    <cfRule type="expression" priority="4" aboveAverage="0" equalAverage="0" bottom="0" percent="0" rank="0" text="" dxfId="2">
      <formula>AND($Q8&lt;&gt;"",$Q8&lt;0.3)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24" hidden="false" customHeight="true" outlineLevel="0" collapsed="false">
      <c r="A1" s="1" t="s">
        <v>26</v>
      </c>
      <c r="B1" s="1"/>
      <c r="C1" s="1"/>
      <c r="D1" s="1"/>
    </row>
    <row r="3" customFormat="false" ht="15" hidden="false" customHeight="false" outlineLevel="0" collapsed="false">
      <c r="A3" s="16" t="s">
        <v>27</v>
      </c>
      <c r="B3" s="17" t="n">
        <f aca="false">COUNT('Install Log'!E8:E37)</f>
        <v>1</v>
      </c>
      <c r="C3" s="18" t="s">
        <v>28</v>
      </c>
    </row>
    <row r="4" customFormat="false" ht="15" hidden="false" customHeight="false" outlineLevel="0" collapsed="false">
      <c r="A4" s="16" t="s">
        <v>29</v>
      </c>
      <c r="B4" s="19" t="n">
        <f aca="false">SUM('Install Log'!E8:E37)</f>
        <v>275000</v>
      </c>
    </row>
    <row r="5" customFormat="false" ht="15" hidden="false" customHeight="false" outlineLevel="0" collapsed="false">
      <c r="A5" s="16" t="s">
        <v>30</v>
      </c>
      <c r="B5" s="19" t="n">
        <f aca="false">SUM('Install Log'!H8:H37)</f>
        <v>13750</v>
      </c>
    </row>
    <row r="6" customFormat="false" ht="15" hidden="false" customHeight="false" outlineLevel="0" collapsed="false">
      <c r="A6" s="16" t="s">
        <v>31</v>
      </c>
      <c r="B6" s="19" t="n">
        <f aca="false">SUM('Install Log'!J8:J37)</f>
        <v>11000</v>
      </c>
    </row>
    <row r="7" customFormat="false" ht="15" hidden="false" customHeight="false" outlineLevel="0" collapsed="false">
      <c r="A7" s="16" t="s">
        <v>32</v>
      </c>
      <c r="B7" s="19" t="n">
        <f aca="false">SUM('Install Log'!N8:N37)</f>
        <v>3000</v>
      </c>
    </row>
    <row r="9" customFormat="false" ht="15" hidden="false" customHeight="false" outlineLevel="0" collapsed="false">
      <c r="A9" s="20" t="s">
        <v>33</v>
      </c>
      <c r="B9" s="20"/>
    </row>
    <row r="10" customFormat="false" ht="15" hidden="false" customHeight="false" outlineLevel="0" collapsed="false">
      <c r="A10" s="16" t="s">
        <v>34</v>
      </c>
      <c r="B10" s="19" t="n">
        <f aca="false">IF(COUNT('Install Log'!E8:E37)=0,"",SUM('Install Log'!E8:E37)/COUNT('Install Log'!E8:E37))</f>
        <v>275000</v>
      </c>
    </row>
    <row r="11" customFormat="false" ht="15" hidden="false" customHeight="false" outlineLevel="0" collapsed="false">
      <c r="A11" s="16" t="s">
        <v>35</v>
      </c>
      <c r="B11" s="19" t="n">
        <f aca="false">IF(COUNT('Install Log'!E8:E37)=0,"",SUM('Install Log'!O8:O37)/COUNT('Install Log'!E8:E37))</f>
        <v>27750</v>
      </c>
    </row>
    <row r="12" customFormat="false" ht="15" hidden="false" customHeight="false" outlineLevel="0" collapsed="false">
      <c r="A12" s="16" t="s">
        <v>36</v>
      </c>
      <c r="B12" s="21" t="n">
        <f aca="false">IF(OR(B10="",B10=0),"",B11/B10)</f>
        <v>0.100909090909091</v>
      </c>
    </row>
    <row r="13" customFormat="false" ht="15" hidden="false" customHeight="false" outlineLevel="0" collapsed="false">
      <c r="A13" s="16" t="s">
        <v>37</v>
      </c>
      <c r="B13" s="21" t="n">
        <f aca="false">IFERROR(AVERAGE('Install Log'!M8:M37),"")</f>
        <v>0.309090909090909</v>
      </c>
    </row>
    <row r="14" customFormat="false" ht="15" hidden="false" customHeight="false" outlineLevel="0" collapsed="false">
      <c r="A14" s="16" t="s">
        <v>38</v>
      </c>
      <c r="B14" s="22" t="n">
        <f aca="false">IFERROR(AVERAGE('Install Log'!Q8:Q37),"")</f>
        <v>0.326470588235294</v>
      </c>
    </row>
    <row r="16" customFormat="false" ht="15" hidden="false" customHeight="false" outlineLevel="0" collapsed="false">
      <c r="A16" s="20" t="s">
        <v>39</v>
      </c>
      <c r="B16" s="20"/>
    </row>
    <row r="17" customFormat="false" ht="15" hidden="false" customHeight="false" outlineLevel="0" collapsed="false">
      <c r="A17" s="16" t="s">
        <v>40</v>
      </c>
      <c r="B17" s="22" t="n">
        <f aca="false">IFERROR(AVERAGE('Install Log'!Q8:Q22),"")</f>
        <v>0.326470588235294</v>
      </c>
    </row>
    <row r="18" customFormat="false" ht="15" hidden="false" customHeight="false" outlineLevel="0" collapsed="false">
      <c r="A18" s="16" t="s">
        <v>41</v>
      </c>
      <c r="B18" s="22" t="str">
        <f aca="false">IFERROR(AVERAGE('Install Log'!Q23:Q37),"")</f>
        <v/>
      </c>
    </row>
    <row r="19" customFormat="false" ht="15" hidden="false" customHeight="false" outlineLevel="0" collapsed="false">
      <c r="A19" s="23" t="s">
        <v>42</v>
      </c>
      <c r="B19" s="23" t="str">
        <f aca="false">IF(OR(B17="",B18=""),"Insufficient Data",IF(B18&gt;B17*1.05,"Climbing",IF(B18&lt;B17*0.95,"Improving","Stable")))</f>
        <v>Insufficient Data</v>
      </c>
    </row>
    <row r="20" customFormat="false" ht="22.35" hidden="false" customHeight="true" outlineLevel="0" collapsed="false">
      <c r="A20" s="24" t="s">
        <v>43</v>
      </c>
      <c r="B20" s="24"/>
      <c r="C20" s="24"/>
      <c r="D20" s="24"/>
    </row>
    <row r="22" customFormat="false" ht="15" hidden="false" customHeight="false" outlineLevel="0" collapsed="false">
      <c r="A22" s="20" t="s">
        <v>44</v>
      </c>
      <c r="B22" s="20"/>
      <c r="C22" s="20"/>
      <c r="D22" s="20"/>
    </row>
    <row r="23" customFormat="false" ht="19.5" hidden="false" customHeight="true" outlineLevel="0" collapsed="false">
      <c r="A23" s="25" t="str">
        <f aca="false">IF(B14="","INSUFFICIENT DATA",IF(B14&gt;0.4,"RENEGOTIATE TERMS",IF(B14&gt;=0.35,"REVIEW NEEDED",IF(B19="Climbing","REVIEW NEEDED","SAFE TO SCALE"))))</f>
        <v>SAFE TO SCALE</v>
      </c>
      <c r="B23" s="25"/>
      <c r="C23" s="25"/>
      <c r="D23" s="25"/>
    </row>
    <row r="24" customFormat="false" ht="19.5" hidden="false" customHeight="true" outlineLevel="0" collapsed="false">
      <c r="A24" s="25"/>
      <c r="B24" s="25"/>
      <c r="C24" s="25"/>
      <c r="D24" s="25"/>
    </row>
    <row r="25" customFormat="false" ht="19.5" hidden="false" customHeight="true" outlineLevel="0" collapsed="false">
      <c r="A25" s="25"/>
      <c r="B25" s="25"/>
      <c r="C25" s="25"/>
      <c r="D25" s="25"/>
    </row>
    <row r="26" customFormat="false" ht="19.5" hidden="false" customHeight="true" outlineLevel="0" collapsed="false">
      <c r="A26" s="25"/>
      <c r="B26" s="25"/>
      <c r="C26" s="25"/>
      <c r="D26" s="25"/>
    </row>
    <row r="28" customFormat="false" ht="22.35" hidden="false" customHeight="true" outlineLevel="0" collapsed="false">
      <c r="A28" s="24" t="s">
        <v>45</v>
      </c>
      <c r="B28" s="24"/>
      <c r="C28" s="24"/>
      <c r="D28" s="24"/>
    </row>
  </sheetData>
  <mergeCells count="7">
    <mergeCell ref="A1:D1"/>
    <mergeCell ref="A9:B9"/>
    <mergeCell ref="A16:B16"/>
    <mergeCell ref="A20:D20"/>
    <mergeCell ref="A22:D22"/>
    <mergeCell ref="A23:D26"/>
    <mergeCell ref="A28:D28"/>
  </mergeCells>
  <conditionalFormatting sqref="A23:D26">
    <cfRule type="expression" priority="2" aboveAverage="0" equalAverage="0" bottom="0" percent="0" rank="0" text="" dxfId="3">
      <formula>$A$23="RENEGOTIATE TERMS"</formula>
    </cfRule>
    <cfRule type="expression" priority="3" aboveAverage="0" equalAverage="0" bottom="0" percent="0" rank="0" text="" dxfId="4">
      <formula>$A$23="REVIEW NEEDED"</formula>
    </cfRule>
    <cfRule type="expression" priority="4" aboveAverage="0" equalAverage="0" bottom="0" percent="0" rank="0" text="" dxfId="5">
      <formula>$A$23="SAFE TO SCALE"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2026-08-06T16:20:15Z</dcterms:created>
  <dc:creator>openpyxl</dc:creator>
  <dc:description/>
  <dc:language>en-US</dc:language>
  <cp:lastModifiedBy/>
  <dcterms:modified xsi:type="dcterms:W3CDTF">2026-08-06T16:20:15Z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